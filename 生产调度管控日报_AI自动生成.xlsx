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#,##0.000"/>
    <numFmt numFmtId="166" formatCode="0.00_);[Red]\(0.00\)"/>
    <numFmt numFmtId="167" formatCode="0.00_ "/>
  </numFmts>
  <fonts count="1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8"/>
      <scheme val="minor"/>
    </font>
    <font>
      <name val="Arial"/>
      <family val="2"/>
      <sz val="10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rgb="FFC00000"/>
      <sz val="11"/>
      <scheme val="minor"/>
    </font>
    <font>
      <name val="Segoe UI"/>
      <family val="2"/>
      <color rgb="FF000C17"/>
      <sz val="11"/>
    </font>
    <font>
      <name val="宋体"/>
      <charset val="134"/>
      <family val="3"/>
      <sz val="11"/>
      <scheme val="minor"/>
    </font>
    <font>
      <name val="Arial"/>
      <family val="2"/>
      <b val="1"/>
      <sz val="11"/>
    </font>
    <font>
      <name val="宋体"/>
      <charset val="134"/>
      <family val="3"/>
      <color theme="1"/>
      <sz val="10.5"/>
    </font>
    <font>
      <name val="Segoe UI"/>
      <family val="2"/>
      <color rgb="FF000C17"/>
      <sz val="10.5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5" tint="0.5999938962981048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9" fontId="11" fillId="0" borderId="0" applyAlignment="1">
      <alignment vertical="center"/>
    </xf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</cellStyleXfs>
  <cellXfs count="101">
    <xf numFmtId="0" fontId="0" fillId="0" borderId="0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9" applyAlignment="1" pivotButton="0" quotePrefix="0" xfId="0">
      <alignment horizontal="center" vertical="center"/>
    </xf>
    <xf numFmtId="164" fontId="2" fillId="0" borderId="10" applyAlignment="1" pivotButton="0" quotePrefix="0" xfId="2">
      <alignment horizontal="center" vertical="center" wrapText="1"/>
    </xf>
    <xf numFmtId="164" fontId="0" fillId="0" borderId="11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20" fontId="0" fillId="0" borderId="14" applyAlignment="1" pivotButton="0" quotePrefix="0" xfId="0">
      <alignment horizontal="center" vertical="center"/>
    </xf>
    <xf numFmtId="165" fontId="2" fillId="0" borderId="15" applyAlignment="1" pivotButton="0" quotePrefix="0" xfId="3">
      <alignment horizontal="center" vertical="center" wrapText="1"/>
    </xf>
    <xf numFmtId="0" fontId="2" fillId="0" borderId="15" applyAlignment="1" pivotButton="0" quotePrefix="0" xfId="4">
      <alignment horizontal="center" vertical="center" wrapText="1"/>
    </xf>
    <xf numFmtId="164" fontId="0" fillId="0" borderId="16" applyAlignment="1" pivotButton="0" quotePrefix="0" xfId="0">
      <alignment horizontal="center" vertical="center"/>
    </xf>
    <xf numFmtId="166" fontId="2" fillId="2" borderId="17" applyAlignment="1" pivotButton="0" quotePrefix="0" xfId="5">
      <alignment horizontal="center" vertical="center" wrapText="1"/>
    </xf>
    <xf numFmtId="165" fontId="2" fillId="0" borderId="18" applyAlignment="1" pivotButton="0" quotePrefix="0" xfId="6">
      <alignment horizontal="center" vertical="center" wrapText="1"/>
    </xf>
    <xf numFmtId="165" fontId="2" fillId="0" borderId="15" applyAlignment="1" pivotButton="0" quotePrefix="0" xfId="6">
      <alignment horizontal="center" vertical="center" wrapText="1"/>
    </xf>
    <xf numFmtId="165" fontId="2" fillId="0" borderId="18" applyAlignment="1" pivotButton="0" quotePrefix="0" xfId="7">
      <alignment horizontal="center" vertical="center" wrapText="1"/>
    </xf>
    <xf numFmtId="165" fontId="2" fillId="0" borderId="15" applyAlignment="1" pivotButton="0" quotePrefix="0" xfId="7">
      <alignment horizontal="center" vertical="center" wrapText="1"/>
    </xf>
    <xf numFmtId="165" fontId="2" fillId="0" borderId="18" applyAlignment="1" pivotButton="0" quotePrefix="0" xfId="8">
      <alignment horizontal="center" vertical="center" wrapText="1"/>
    </xf>
    <xf numFmtId="165" fontId="2" fillId="0" borderId="15" applyAlignment="1" pivotButton="0" quotePrefix="0" xfId="8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4" fontId="5" fillId="0" borderId="16" applyAlignment="1" pivotButton="0" quotePrefix="0" xfId="0">
      <alignment horizontal="left" vertical="top"/>
    </xf>
    <xf numFmtId="164" fontId="2" fillId="0" borderId="0" applyAlignment="1" pivotButton="0" quotePrefix="0" xfId="9">
      <alignment horizontal="center" vertical="center" wrapText="1"/>
    </xf>
    <xf numFmtId="164" fontId="6" fillId="3" borderId="16" applyAlignment="1" pivotButton="0" quotePrefix="0" xfId="0">
      <alignment horizontal="center" vertical="center" wrapText="1"/>
    </xf>
    <xf numFmtId="166" fontId="7" fillId="4" borderId="16" applyAlignment="1" pivotButton="0" quotePrefix="0" xfId="10">
      <alignment horizontal="center" vertical="center" wrapText="1"/>
    </xf>
    <xf numFmtId="164" fontId="6" fillId="0" borderId="16" applyAlignment="1" pivotButton="0" quotePrefix="0" xfId="0">
      <alignment horizontal="center" vertical="center" wrapText="1"/>
    </xf>
    <xf numFmtId="167" fontId="7" fillId="5" borderId="16" applyAlignment="1" pivotButton="0" quotePrefix="0" xfId="10">
      <alignment horizontal="center" vertical="center" wrapText="1"/>
    </xf>
    <xf numFmtId="164" fontId="0" fillId="0" borderId="23" applyAlignment="1" pivotButton="0" quotePrefix="0" xfId="0">
      <alignment horizontal="center" vertical="center"/>
    </xf>
    <xf numFmtId="164" fontId="0" fillId="0" borderId="24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2" fillId="0" borderId="15" applyAlignment="1" pivotButton="0" quotePrefix="0" xfId="11">
      <alignment horizontal="center" vertical="center" wrapText="1"/>
    </xf>
    <xf numFmtId="165" fontId="2" fillId="0" borderId="0" applyAlignment="1" pivotButton="0" quotePrefix="0" xfId="9">
      <alignment horizontal="center" vertical="center" wrapText="1"/>
    </xf>
    <xf numFmtId="164" fontId="9" fillId="0" borderId="0" applyAlignment="1" pivotButton="0" quotePrefix="0" xfId="0">
      <alignment vertical="center"/>
    </xf>
    <xf numFmtId="0" fontId="0" fillId="0" borderId="0" applyAlignment="1" pivotButton="0" quotePrefix="0" xfId="1">
      <alignment horizontal="center" vertical="center"/>
    </xf>
    <xf numFmtId="164" fontId="1" fillId="0" borderId="0" applyAlignment="1" pivotButton="0" quotePrefix="0" xfId="0">
      <alignment vertical="center"/>
    </xf>
    <xf numFmtId="166" fontId="2" fillId="0" borderId="0" applyAlignment="1" pivotButton="0" quotePrefix="0" xfId="9">
      <alignment horizontal="center" vertical="center" wrapText="1"/>
    </xf>
    <xf numFmtId="0" fontId="2" fillId="0" borderId="15" applyAlignment="1" pivotButton="0" quotePrefix="0" xfId="1">
      <alignment horizontal="center" vertical="center" wrapText="1"/>
    </xf>
    <xf numFmtId="0" fontId="1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22" applyAlignment="1" pivotButton="0" quotePrefix="0" xfId="0">
      <alignment horizontal="center" vertical="center"/>
    </xf>
    <xf numFmtId="164" fontId="1" fillId="0" borderId="19" applyAlignment="1" pivotButton="0" quotePrefix="0" xfId="0">
      <alignment horizontal="center" vertical="center"/>
    </xf>
    <xf numFmtId="164" fontId="1" fillId="0" borderId="20" applyAlignment="1" pivotButton="0" quotePrefix="0" xfId="0">
      <alignment horizontal="center" vertical="center"/>
    </xf>
    <xf numFmtId="164" fontId="1" fillId="0" borderId="21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0" applyAlignment="1" pivotButton="0" quotePrefix="0" xfId="0">
      <alignment horizontal="center" vertical="center"/>
    </xf>
    <xf numFmtId="164" fontId="0" fillId="0" borderId="3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0" fillId="0" borderId="2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2" pivotButton="0" quotePrefix="0" xfId="0"/>
    <xf numFmtId="164" fontId="0" fillId="0" borderId="9" applyAlignment="1" pivotButton="0" quotePrefix="0" xfId="0">
      <alignment horizontal="center" vertical="center"/>
    </xf>
    <xf numFmtId="164" fontId="2" fillId="0" borderId="10" applyAlignment="1" pivotButton="0" quotePrefix="0" xfId="2">
      <alignment horizontal="center" vertical="center" wrapText="1"/>
    </xf>
    <xf numFmtId="164" fontId="0" fillId="0" borderId="11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164" fontId="0" fillId="0" borderId="24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2" fillId="0" borderId="15" applyAlignment="1" pivotButton="0" quotePrefix="0" xfId="3">
      <alignment horizontal="center" vertical="center" wrapText="1"/>
    </xf>
    <xf numFmtId="167" fontId="0" fillId="0" borderId="0" applyAlignment="1" pivotButton="0" quotePrefix="0" xfId="0">
      <alignment vertical="center"/>
    </xf>
    <xf numFmtId="166" fontId="2" fillId="2" borderId="17" applyAlignment="1" pivotButton="0" quotePrefix="0" xfId="5">
      <alignment horizontal="center" vertical="center" wrapText="1"/>
    </xf>
    <xf numFmtId="165" fontId="2" fillId="0" borderId="18" applyAlignment="1" pivotButton="0" quotePrefix="0" xfId="6">
      <alignment horizontal="center" vertical="center" wrapText="1"/>
    </xf>
    <xf numFmtId="165" fontId="2" fillId="0" borderId="15" applyAlignment="1" pivotButton="0" quotePrefix="0" xfId="6">
      <alignment horizontal="center" vertical="center" wrapText="1"/>
    </xf>
    <xf numFmtId="165" fontId="2" fillId="0" borderId="18" applyAlignment="1" pivotButton="0" quotePrefix="0" xfId="7">
      <alignment horizontal="center" vertical="center" wrapText="1"/>
    </xf>
    <xf numFmtId="165" fontId="2" fillId="0" borderId="15" applyAlignment="1" pivotButton="0" quotePrefix="0" xfId="7">
      <alignment horizontal="center" vertical="center" wrapText="1"/>
    </xf>
    <xf numFmtId="165" fontId="2" fillId="0" borderId="18" applyAlignment="1" pivotButton="0" quotePrefix="0" xfId="8">
      <alignment horizontal="center" vertical="center" wrapText="1"/>
    </xf>
    <xf numFmtId="165" fontId="2" fillId="0" borderId="15" applyAlignment="1" pivotButton="0" quotePrefix="0" xfId="8">
      <alignment horizontal="center" vertical="center" wrapText="1"/>
    </xf>
    <xf numFmtId="165" fontId="2" fillId="0" borderId="15" applyAlignment="1" pivotButton="0" quotePrefix="0" xfId="11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2" fillId="0" borderId="0" applyAlignment="1" pivotButton="0" quotePrefix="0" xfId="9">
      <alignment horizontal="center" vertical="center" wrapText="1"/>
    </xf>
    <xf numFmtId="164" fontId="2" fillId="0" borderId="0" applyAlignment="1" pivotButton="0" quotePrefix="0" xfId="9">
      <alignment horizontal="center" vertical="center" wrapText="1"/>
    </xf>
    <xf numFmtId="166" fontId="2" fillId="0" borderId="0" applyAlignment="1" pivotButton="0" quotePrefix="0" xfId="9">
      <alignment horizontal="center" vertical="center" wrapText="1"/>
    </xf>
    <xf numFmtId="164" fontId="1" fillId="0" borderId="16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9" fillId="0" borderId="0" applyAlignment="1" pivotButton="0" quotePrefix="0" xfId="0">
      <alignment vertical="center"/>
    </xf>
    <xf numFmtId="164" fontId="5" fillId="0" borderId="16" applyAlignment="1" pivotButton="0" quotePrefix="0" xfId="0">
      <alignment horizontal="left" vertical="top"/>
    </xf>
    <xf numFmtId="164" fontId="6" fillId="3" borderId="16" applyAlignment="1" pivotButton="0" quotePrefix="0" xfId="0">
      <alignment horizontal="center" vertical="center" wrapText="1"/>
    </xf>
    <xf numFmtId="166" fontId="7" fillId="4" borderId="16" applyAlignment="1" pivotButton="0" quotePrefix="0" xfId="10">
      <alignment horizontal="center" vertical="center" wrapText="1"/>
    </xf>
    <xf numFmtId="164" fontId="1" fillId="0" borderId="0" applyAlignment="1" pivotButton="0" quotePrefix="0" xfId="0">
      <alignment vertical="center"/>
    </xf>
    <xf numFmtId="164" fontId="6" fillId="0" borderId="16" applyAlignment="1" pivotButton="0" quotePrefix="0" xfId="0">
      <alignment horizontal="center" vertical="center" wrapText="1"/>
    </xf>
    <xf numFmtId="167" fontId="7" fillId="5" borderId="16" applyAlignment="1" pivotButton="0" quotePrefix="0" xfId="10">
      <alignment horizontal="center" vertical="center" wrapText="1"/>
    </xf>
    <xf numFmtId="164" fontId="0" fillId="0" borderId="0" applyAlignment="1" pivotButton="0" quotePrefix="0" xfId="0">
      <alignment vertical="center"/>
    </xf>
  </cellXfs>
  <cellStyles count="12">
    <cellStyle name="常规" xfId="0" builtinId="0"/>
    <cellStyle name="百分比" xfId="1" builtinId="5"/>
    <cellStyle name="常规 126" xfId="2"/>
    <cellStyle name="常规 6559" xfId="3"/>
    <cellStyle name="常规 7834" xfId="4"/>
    <cellStyle name="常规 159" xfId="5"/>
    <cellStyle name="常规 465" xfId="6"/>
    <cellStyle name="常规 923" xfId="7"/>
    <cellStyle name="常规 505" xfId="8"/>
    <cellStyle name="常规 5984" xfId="9"/>
    <cellStyle name="常规 195" xfId="10"/>
    <cellStyle name="常规 574" xfId="1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tabSelected="1" workbookViewId="0">
      <selection activeCell="P18" sqref="P18"/>
    </sheetView>
  </sheetViews>
  <sheetFormatPr baseColWidth="8" defaultColWidth="9" defaultRowHeight="13.5"/>
  <sheetData>
    <row r="1" ht="22.5" customHeight="1" s="53">
      <c r="A1" s="54" t="inlineStr">
        <is>
          <t>热电公司排放总量管控数据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6" t="n"/>
    </row>
    <row r="2">
      <c r="A2" s="57" t="n"/>
      <c r="B2" s="58" t="inlineStr">
        <is>
          <t>北厂#1炉</t>
        </is>
      </c>
      <c r="C2" s="59" t="n"/>
      <c r="D2" s="59" t="n"/>
      <c r="E2" s="60" t="n"/>
      <c r="F2" s="61" t="inlineStr">
        <is>
          <t>北厂#2炉</t>
        </is>
      </c>
      <c r="G2" s="62" t="n"/>
      <c r="H2" s="62" t="n"/>
      <c r="I2" s="63" t="n"/>
      <c r="J2" s="61" t="inlineStr">
        <is>
          <t>北厂#3炉</t>
        </is>
      </c>
      <c r="K2" s="62" t="n"/>
      <c r="L2" s="62" t="n"/>
      <c r="M2" s="63" t="n"/>
      <c r="N2" s="61" t="inlineStr">
        <is>
          <t>北厂#4炉</t>
        </is>
      </c>
      <c r="O2" s="62" t="n"/>
      <c r="P2" s="62" t="n"/>
      <c r="Q2" s="63" t="n"/>
      <c r="R2" s="61" t="inlineStr">
        <is>
          <t>北厂#5炉</t>
        </is>
      </c>
      <c r="S2" s="62" t="n"/>
      <c r="T2" s="62" t="n"/>
      <c r="U2" s="63" t="n"/>
      <c r="V2" s="61" t="inlineStr">
        <is>
          <t>南厂#1炉</t>
        </is>
      </c>
      <c r="W2" s="62" t="n"/>
      <c r="X2" s="62" t="n"/>
      <c r="Y2" s="63" t="n"/>
      <c r="Z2" s="61" t="inlineStr">
        <is>
          <t>南厂#2炉</t>
        </is>
      </c>
      <c r="AA2" s="62" t="n"/>
      <c r="AB2" s="62" t="n"/>
      <c r="AC2" s="63" t="n"/>
      <c r="AD2" s="56" t="n"/>
    </row>
    <row r="3">
      <c r="A3" s="64" t="inlineStr">
        <is>
          <t>时间</t>
        </is>
      </c>
      <c r="B3" s="65" t="inlineStr">
        <is>
          <t>烟气量</t>
        </is>
      </c>
      <c r="C3" s="66" t="inlineStr">
        <is>
          <t>粉尘</t>
        </is>
      </c>
      <c r="D3" s="66" t="inlineStr">
        <is>
          <t>SO2</t>
        </is>
      </c>
      <c r="E3" s="67" t="inlineStr">
        <is>
          <t>Nox</t>
        </is>
      </c>
      <c r="F3" s="68" t="inlineStr">
        <is>
          <t>烟气量</t>
        </is>
      </c>
      <c r="G3" s="66" t="inlineStr">
        <is>
          <t>粉尘</t>
        </is>
      </c>
      <c r="H3" s="66" t="inlineStr">
        <is>
          <t>SO2</t>
        </is>
      </c>
      <c r="I3" s="69" t="inlineStr">
        <is>
          <t>Nox</t>
        </is>
      </c>
      <c r="J3" s="70" t="inlineStr">
        <is>
          <t>烟气量</t>
        </is>
      </c>
      <c r="K3" s="71" t="inlineStr">
        <is>
          <t>粉尘</t>
        </is>
      </c>
      <c r="L3" s="66" t="inlineStr">
        <is>
          <t>SO2</t>
        </is>
      </c>
      <c r="M3" s="67" t="inlineStr">
        <is>
          <t>Nox</t>
        </is>
      </c>
      <c r="N3" s="70" t="inlineStr">
        <is>
          <t>烟气量</t>
        </is>
      </c>
      <c r="O3" s="72" t="inlineStr">
        <is>
          <t>粉尘</t>
        </is>
      </c>
      <c r="P3" s="66" t="inlineStr">
        <is>
          <t>SO2</t>
        </is>
      </c>
      <c r="Q3" s="67" t="inlineStr">
        <is>
          <t>Nox</t>
        </is>
      </c>
      <c r="R3" s="68" t="inlineStr">
        <is>
          <t>烟气量</t>
        </is>
      </c>
      <c r="S3" s="66" t="inlineStr">
        <is>
          <t>粉尘</t>
        </is>
      </c>
      <c r="T3" s="66" t="inlineStr">
        <is>
          <t>SO2</t>
        </is>
      </c>
      <c r="U3" s="67" t="inlineStr">
        <is>
          <t>Nox</t>
        </is>
      </c>
      <c r="V3" s="68" t="inlineStr">
        <is>
          <t>烟气量</t>
        </is>
      </c>
      <c r="W3" s="66" t="inlineStr">
        <is>
          <t>粉尘</t>
        </is>
      </c>
      <c r="X3" s="66" t="inlineStr">
        <is>
          <t>SO2</t>
        </is>
      </c>
      <c r="Y3" s="67" t="inlineStr">
        <is>
          <t>Nox</t>
        </is>
      </c>
      <c r="Z3" s="68" t="inlineStr">
        <is>
          <t>烟气量</t>
        </is>
      </c>
      <c r="AA3" s="66" t="inlineStr">
        <is>
          <t>粉尘</t>
        </is>
      </c>
      <c r="AB3" s="66" t="inlineStr">
        <is>
          <t>SO2</t>
        </is>
      </c>
      <c r="AC3" s="67" t="inlineStr">
        <is>
          <t>Nox</t>
        </is>
      </c>
      <c r="AD3" s="56" t="n"/>
    </row>
    <row r="4">
      <c r="A4" s="7" t="n">
        <v>1</v>
      </c>
      <c r="B4" s="73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74" t="n"/>
    </row>
    <row r="5">
      <c r="A5" s="7" t="n">
        <v>1.041666666666667</v>
      </c>
      <c r="B5" s="7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74" t="n"/>
    </row>
    <row r="6">
      <c r="A6" s="7" t="n">
        <v>1.083333333333333</v>
      </c>
      <c r="B6" s="7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74" t="n"/>
    </row>
    <row r="7">
      <c r="A7" s="7" t="n">
        <v>1.125</v>
      </c>
      <c r="B7" s="7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74" t="n"/>
    </row>
    <row r="8">
      <c r="A8" s="7" t="n">
        <v>1.166666666666667</v>
      </c>
      <c r="B8" s="73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74" t="n"/>
    </row>
    <row r="9">
      <c r="A9" s="7" t="n">
        <v>1.208333333333333</v>
      </c>
      <c r="B9" s="73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74" t="n"/>
    </row>
    <row r="10">
      <c r="A10" s="7" t="n">
        <v>1.25</v>
      </c>
      <c r="B10" s="73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74" t="n"/>
    </row>
    <row r="11">
      <c r="A11" s="7" t="n">
        <v>1.291666666666667</v>
      </c>
      <c r="B11" s="73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74" t="n"/>
    </row>
    <row r="12">
      <c r="A12" s="7" t="n">
        <v>1.333333333333333</v>
      </c>
      <c r="B12" s="73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74" t="n"/>
    </row>
    <row r="13">
      <c r="A13" s="7" t="n">
        <v>1.375</v>
      </c>
      <c r="B13" s="73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74" t="n"/>
    </row>
    <row r="14">
      <c r="A14" s="7" t="n">
        <v>1.416666666666667</v>
      </c>
      <c r="B14" s="73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74" t="n"/>
    </row>
    <row r="15">
      <c r="A15" s="7" t="n">
        <v>1.458333333333333</v>
      </c>
      <c r="B15" s="73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74" t="n"/>
    </row>
    <row r="16">
      <c r="A16" s="7" t="n">
        <v>1.5</v>
      </c>
      <c r="B16" s="73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74" t="n"/>
    </row>
    <row r="17">
      <c r="A17" s="7" t="n">
        <v>1.541666666666667</v>
      </c>
      <c r="B17" s="73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74" t="n"/>
    </row>
    <row r="18">
      <c r="A18" s="7" t="n">
        <v>1.583333333333333</v>
      </c>
      <c r="B18" s="73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74" t="n"/>
    </row>
    <row r="19">
      <c r="A19" s="7" t="n">
        <v>1.625</v>
      </c>
      <c r="B19" s="73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74" t="n"/>
    </row>
    <row r="20">
      <c r="A20" s="7" t="n">
        <v>1.666666666666667</v>
      </c>
      <c r="B20" s="73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74" t="n"/>
    </row>
    <row r="21">
      <c r="A21" s="7" t="n">
        <v>1.708333333333333</v>
      </c>
      <c r="B21" s="73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74" t="n"/>
    </row>
    <row r="22">
      <c r="A22" s="7" t="n">
        <v>1.75</v>
      </c>
      <c r="B22" s="73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74" t="n"/>
    </row>
    <row r="23">
      <c r="A23" s="7" t="n">
        <v>1.791666666666667</v>
      </c>
      <c r="B23" s="73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74" t="n"/>
    </row>
    <row r="24">
      <c r="A24" s="7" t="n">
        <v>1.833333333333333</v>
      </c>
      <c r="B24" s="73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74" t="n"/>
    </row>
    <row r="25">
      <c r="A25" s="7" t="n">
        <v>1.875</v>
      </c>
      <c r="B25" s="73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74" t="n"/>
    </row>
    <row r="26">
      <c r="A26" s="7" t="n">
        <v>1.916666666666667</v>
      </c>
      <c r="B26" s="73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74" t="n"/>
    </row>
    <row r="27">
      <c r="A27" s="7" t="n">
        <v>1.958333333333333</v>
      </c>
      <c r="B27" s="73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74">
        <f>SUM(C27:AC27)</f>
        <v/>
      </c>
    </row>
    <row r="28">
      <c r="A28" s="70" t="inlineStr">
        <is>
          <t>日总量</t>
        </is>
      </c>
      <c r="B28" s="75">
        <f>SUM(B4:B27)</f>
        <v/>
      </c>
      <c r="C28" s="75">
        <f>SUM(C4:C27)</f>
        <v/>
      </c>
      <c r="D28" s="75">
        <f>SUM(D4:D27)</f>
        <v/>
      </c>
      <c r="E28" s="75">
        <f>SUM(E4:E27)</f>
        <v/>
      </c>
      <c r="F28" s="75">
        <f>SUM(F4:F27)</f>
        <v/>
      </c>
      <c r="G28" s="75">
        <f>SUM(G4:G27)</f>
        <v/>
      </c>
      <c r="H28" s="75">
        <f>SUM(H4:H27)</f>
        <v/>
      </c>
      <c r="I28" s="75">
        <f>SUM(I4:I27)</f>
        <v/>
      </c>
      <c r="J28" s="75">
        <f>SUM(J4:J27)</f>
        <v/>
      </c>
      <c r="K28" s="75">
        <f>SUM(K4:K27)</f>
        <v/>
      </c>
      <c r="L28" s="75">
        <f>SUM(L4:L27)</f>
        <v/>
      </c>
      <c r="M28" s="75">
        <f>SUM(M4:M27)</f>
        <v/>
      </c>
      <c r="N28" s="75">
        <f>SUM(N4:N27)</f>
        <v/>
      </c>
      <c r="O28" s="75">
        <f>SUM(O4:O27)</f>
        <v/>
      </c>
      <c r="P28" s="75">
        <f>SUM(P4:P27)</f>
        <v/>
      </c>
      <c r="Q28" s="75">
        <f>SUM(Q4:Q27)</f>
        <v/>
      </c>
      <c r="R28" s="75">
        <f>SUM(R4:R27)</f>
        <v/>
      </c>
      <c r="S28" s="75">
        <f>SUM(S4:S27)</f>
        <v/>
      </c>
      <c r="T28" s="75">
        <f>SUM(T4:T27)</f>
        <v/>
      </c>
      <c r="U28" s="75">
        <f>SUM(U4:U27)</f>
        <v/>
      </c>
      <c r="V28" s="75">
        <f>SUM(V4:V27)</f>
        <v/>
      </c>
      <c r="W28" s="75">
        <f>SUM(W4:W27)</f>
        <v/>
      </c>
      <c r="X28" s="75">
        <f>SUM(X4:X27)</f>
        <v/>
      </c>
      <c r="Y28" s="75">
        <f>SUM(Y4:Y27)</f>
        <v/>
      </c>
      <c r="Z28" s="75">
        <f>SUM(Z4:Z27)</f>
        <v/>
      </c>
      <c r="AA28" s="75">
        <f>SUM(AA4:AA27)</f>
        <v/>
      </c>
      <c r="AB28" s="75">
        <f>SUM(AB4:AB27)</f>
        <v/>
      </c>
      <c r="AC28" s="75">
        <f>SUM(AC4:AC27)</f>
        <v/>
      </c>
      <c r="AD28" s="74" t="n"/>
    </row>
    <row r="29">
      <c r="A29" s="70" t="inlineStr">
        <is>
          <t>实测值</t>
        </is>
      </c>
      <c r="B29" s="76" t="n"/>
      <c r="C29" s="77">
        <f>#REF!/#REF!*1000000</f>
        <v/>
      </c>
      <c r="D29" s="77">
        <f>#REF!/#REF!*1000000</f>
        <v/>
      </c>
      <c r="E29" s="77">
        <f>#REF!/#REF!*1000000</f>
        <v/>
      </c>
      <c r="F29" s="77" t="n"/>
      <c r="G29" s="77">
        <f>#REF!/#REF!*1000000</f>
        <v/>
      </c>
      <c r="H29" s="77">
        <f>#REF!/#REF!*1000000</f>
        <v/>
      </c>
      <c r="I29" s="77">
        <f>#REF!/#REF!*1000000</f>
        <v/>
      </c>
      <c r="J29" s="77" t="n"/>
      <c r="K29" s="77">
        <f>#REF!/#REF!*1000000</f>
        <v/>
      </c>
      <c r="L29" s="77">
        <f>#REF!/#REF!*1000000</f>
        <v/>
      </c>
      <c r="M29" s="77">
        <f>#REF!/#REF!*1000000</f>
        <v/>
      </c>
      <c r="N29" s="77" t="n"/>
      <c r="O29" s="77">
        <f>#REF!/#REF!*1000000</f>
        <v/>
      </c>
      <c r="P29" s="77">
        <f>#REF!/#REF!*1000000</f>
        <v/>
      </c>
      <c r="Q29" s="77">
        <f>#REF!/#REF!*1000000</f>
        <v/>
      </c>
      <c r="R29" s="77" t="n"/>
      <c r="S29" s="77">
        <f>#REF!/#REF!*1000000</f>
        <v/>
      </c>
      <c r="T29" s="77">
        <f>#REF!/#REF!*1000000</f>
        <v/>
      </c>
      <c r="U29" s="77">
        <f>#REF!/#REF!*1000000</f>
        <v/>
      </c>
      <c r="V29" s="77" t="n"/>
      <c r="W29" s="77">
        <f>#REF!/#REF!*1000000</f>
        <v/>
      </c>
      <c r="X29" s="77">
        <f>#REF!/#REF!*1000000</f>
        <v/>
      </c>
      <c r="Y29" s="77">
        <f>#REF!/#REF!*1000000</f>
        <v/>
      </c>
      <c r="Z29" s="77" t="n"/>
      <c r="AA29" s="77">
        <f>#REF!/#REF!*1000000</f>
        <v/>
      </c>
      <c r="AB29" s="77">
        <f>#REF!/#REF!*1000000</f>
        <v/>
      </c>
      <c r="AC29" s="77">
        <f>#REF!/#REF!*1000000</f>
        <v/>
      </c>
      <c r="AD29" s="74" t="n"/>
    </row>
    <row r="30">
      <c r="A30" s="70" t="inlineStr">
        <is>
          <t>当前均值</t>
        </is>
      </c>
      <c r="B30" s="76">
        <f>AVERAGE(A20:A27)</f>
        <v/>
      </c>
      <c r="C30" s="77">
        <f>AVERAGE(C4:C6)</f>
        <v/>
      </c>
      <c r="D30" s="77">
        <f>AVERAGE(D4:D6)</f>
        <v/>
      </c>
      <c r="E30" s="77">
        <f>AVERAGE(#REF!)</f>
        <v/>
      </c>
      <c r="F30" s="77">
        <f>AVERAGE(#REF!)</f>
        <v/>
      </c>
      <c r="G30" s="77">
        <f>AVERAGE(F4:F6)</f>
        <v/>
      </c>
      <c r="H30" s="77">
        <f>AVERAGE(G4:G6)</f>
        <v/>
      </c>
      <c r="I30" s="77">
        <f>AVERAGE(H4:H6)</f>
        <v/>
      </c>
      <c r="J30" s="77">
        <f>AVERAGE(M4:M11)</f>
        <v/>
      </c>
      <c r="K30" s="77">
        <f>AVERAGE(K4:K27)</f>
        <v/>
      </c>
      <c r="L30" s="77">
        <f>AVERAGE(L4:L27)</f>
        <v/>
      </c>
      <c r="M30" s="77">
        <f>AVERAGE(M4:M27)</f>
        <v/>
      </c>
      <c r="N30" s="77">
        <f>AVERAGE(#REF!)</f>
        <v/>
      </c>
      <c r="O30" s="77">
        <f>AVERAGE(O4:O27)</f>
        <v/>
      </c>
      <c r="P30" s="77">
        <f>AVERAGE(P4:P27)</f>
        <v/>
      </c>
      <c r="Q30" s="77">
        <f>AVERAGE(Q4:Q27)</f>
        <v/>
      </c>
      <c r="R30" s="77">
        <f>AVERAGE(R5:R27)</f>
        <v/>
      </c>
      <c r="S30" s="77">
        <f>AVERAGE(S5:S27)</f>
        <v/>
      </c>
      <c r="T30" s="77">
        <f>AVERAGE(T5:T27)</f>
        <v/>
      </c>
      <c r="U30" s="77">
        <f>AVERAGE(U13:U27)</f>
        <v/>
      </c>
      <c r="V30" s="77">
        <f>AVERAGE(V5:V27)</f>
        <v/>
      </c>
      <c r="W30" s="77">
        <f>AVERAGE(W8:W27)</f>
        <v/>
      </c>
      <c r="X30" s="77">
        <f>AVERAGE(X5:X27)</f>
        <v/>
      </c>
      <c r="Y30" s="77">
        <f>AVERAGE(Y13:Y27)</f>
        <v/>
      </c>
      <c r="Z30" s="77">
        <f>AVERAGE(Z4:Z27)</f>
        <v/>
      </c>
      <c r="AA30" s="77">
        <f>AVERAGE(AA4:AA27)</f>
        <v/>
      </c>
      <c r="AB30" s="77">
        <f>AVERAGE(AB4:AB27)</f>
        <v/>
      </c>
      <c r="AC30" s="77">
        <f>AVERAGE(AC4:AC27)</f>
        <v/>
      </c>
      <c r="AD30" s="74" t="n"/>
    </row>
    <row r="31">
      <c r="A31" s="70" t="inlineStr">
        <is>
          <t>昨日均值</t>
        </is>
      </c>
      <c r="B31" s="78" t="n">
        <v>195929.587833333</v>
      </c>
      <c r="C31" s="79" t="n">
        <v>0.0896666666666667</v>
      </c>
      <c r="D31" s="79" t="n">
        <v>1.64075</v>
      </c>
      <c r="E31" s="79" t="n">
        <v>1.989</v>
      </c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7" t="n"/>
      <c r="S31" s="77" t="n"/>
      <c r="T31" s="77" t="n"/>
      <c r="U31" s="77" t="n"/>
      <c r="V31" s="79" t="n">
        <v>483907.8015</v>
      </c>
      <c r="W31" s="79" t="n">
        <v>0.617791666666667</v>
      </c>
      <c r="X31" s="79" t="n">
        <v>4.66108333333333</v>
      </c>
      <c r="Y31" s="79" t="n">
        <v>7.52641666666667</v>
      </c>
      <c r="Z31" s="79" t="n">
        <v>501998.051166667</v>
      </c>
      <c r="AA31" s="79" t="n">
        <v>2</v>
      </c>
      <c r="AB31" s="79" t="n">
        <v>5.66441666666667</v>
      </c>
      <c r="AC31" s="79" t="n">
        <v>9.542083333333331</v>
      </c>
      <c r="AD31" s="74" t="n"/>
    </row>
    <row r="32">
      <c r="A32" s="70" t="inlineStr">
        <is>
          <t>22:00－8:00</t>
        </is>
      </c>
      <c r="B32" s="80">
        <f>SUM(#REF!)</f>
        <v/>
      </c>
      <c r="C32" s="81">
        <f>SUM(#REF!)</f>
        <v/>
      </c>
      <c r="D32" s="81">
        <f>SUM(#REF!)</f>
        <v/>
      </c>
      <c r="E32" s="81">
        <f>SUM(#REF!)</f>
        <v/>
      </c>
      <c r="F32" s="81" t="n"/>
      <c r="G32" s="81" t="n"/>
      <c r="H32" s="81" t="n"/>
      <c r="I32" s="81" t="n"/>
      <c r="J32" s="81" t="n"/>
      <c r="K32" s="81" t="n"/>
      <c r="L32" s="82" t="n"/>
      <c r="M32" s="81" t="n"/>
      <c r="N32" s="81" t="n"/>
      <c r="O32" s="81" t="n"/>
      <c r="P32" s="82" t="n"/>
      <c r="Q32" s="81" t="n"/>
      <c r="R32" s="81">
        <f>SUM(#REF!)</f>
        <v/>
      </c>
      <c r="S32" s="81">
        <f>SUM(#REF!)</f>
        <v/>
      </c>
      <c r="T32" s="81">
        <f>SUM(#REF!)</f>
        <v/>
      </c>
      <c r="U32" s="81">
        <f>SUM(#REF!)</f>
        <v/>
      </c>
      <c r="V32" s="81">
        <f>SUM(#REF!)</f>
        <v/>
      </c>
      <c r="W32" s="81">
        <f>SUM(#REF!)</f>
        <v/>
      </c>
      <c r="X32" s="81">
        <f>SUM(#REF!)</f>
        <v/>
      </c>
      <c r="Y32" s="81">
        <f>SUM(#REF!)</f>
        <v/>
      </c>
      <c r="Z32" s="81">
        <f>SUM(#REF!)</f>
        <v/>
      </c>
      <c r="AA32" s="81">
        <f>SUM(#REF!)</f>
        <v/>
      </c>
      <c r="AB32" s="81">
        <f>SUM(#REF!)</f>
        <v/>
      </c>
      <c r="AC32" s="81">
        <f>SUM(#REF!)</f>
        <v/>
      </c>
      <c r="AD32" s="74" t="n"/>
    </row>
    <row r="33">
      <c r="A33" s="56" t="n"/>
      <c r="B33" s="83" t="n"/>
      <c r="C33" s="56" t="n"/>
      <c r="D33" s="56" t="n"/>
      <c r="E33" s="84" t="n"/>
      <c r="F33" s="85" t="n"/>
      <c r="G33" s="86" t="n"/>
      <c r="H33" s="56" t="n"/>
      <c r="I33" s="56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56" t="n"/>
    </row>
    <row r="34">
      <c r="A34" s="56" t="n"/>
      <c r="B34" s="83" t="n"/>
      <c r="C34" s="56" t="n"/>
      <c r="D34" s="56" t="n"/>
      <c r="E34" s="56" t="n"/>
      <c r="F34" s="56" t="n"/>
      <c r="G34" s="85" t="n"/>
      <c r="H34" s="85" t="n"/>
      <c r="I34" s="85" t="n"/>
      <c r="J34" s="87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9" t="n"/>
      <c r="X34" s="89" t="n"/>
      <c r="Y34" s="89" t="n"/>
      <c r="Z34" s="56" t="n"/>
      <c r="AA34" s="56" t="n"/>
      <c r="AB34" s="56" t="n"/>
      <c r="AC34" s="56" t="n"/>
      <c r="AD34" s="56" t="n"/>
    </row>
    <row r="35" ht="22.5" customHeight="1" s="53">
      <c r="A35" s="90" t="inlineStr">
        <is>
          <t>热电污染物排放管控</t>
        </is>
      </c>
      <c r="B35" s="91" t="n"/>
      <c r="C35" s="91" t="n"/>
      <c r="D35" s="91" t="n"/>
      <c r="E35" s="92" t="n"/>
      <c r="F35" s="56" t="n"/>
      <c r="G35" s="85" t="n"/>
      <c r="H35" s="85" t="n"/>
      <c r="I35" s="85" t="n"/>
      <c r="J35" s="87" t="n"/>
      <c r="K35" s="56" t="n"/>
      <c r="L35" s="56" t="n"/>
      <c r="M35" s="56" t="n"/>
      <c r="N35" s="56" t="n"/>
      <c r="O35" s="93" t="n"/>
      <c r="P35" s="88" t="n"/>
      <c r="Q35" s="88" t="n"/>
      <c r="R35" s="88" t="n"/>
      <c r="S35" s="88" t="n"/>
      <c r="T35" s="93" t="n"/>
      <c r="U35" s="93" t="n"/>
      <c r="V35" s="93" t="n"/>
      <c r="W35" s="88" t="n"/>
      <c r="X35" s="38" t="n"/>
      <c r="Y35" s="88" t="n"/>
      <c r="Z35" s="56" t="n"/>
      <c r="AA35" s="56" t="n"/>
      <c r="AB35" s="56" t="n"/>
      <c r="AC35" s="56" t="n"/>
      <c r="AD35" s="56" t="n"/>
    </row>
    <row r="36" ht="16.5" customHeight="1" s="53">
      <c r="A36" s="70" t="inlineStr">
        <is>
          <t>日期</t>
        </is>
      </c>
      <c r="B36" s="70" t="inlineStr">
        <is>
          <t>三项总量</t>
        </is>
      </c>
      <c r="C36" s="70" t="inlineStr">
        <is>
          <t>烟尘排放量</t>
        </is>
      </c>
      <c r="D36" s="94" t="inlineStr">
        <is>
          <t>二氧化硫排放量</t>
        </is>
      </c>
      <c r="E36" s="94" t="inlineStr">
        <is>
          <t>氮氧化物排放量</t>
        </is>
      </c>
      <c r="F36" s="85" t="n"/>
      <c r="G36" s="86" t="n"/>
      <c r="H36" s="88" t="n"/>
      <c r="I36" s="88" t="n"/>
      <c r="J36" s="56" t="n"/>
      <c r="K36" s="56" t="n"/>
      <c r="L36" s="56" t="n"/>
      <c r="M36" s="56" t="n"/>
      <c r="N36" s="56" t="n"/>
      <c r="O36" s="35" t="n"/>
      <c r="P36" s="88" t="n"/>
      <c r="Q36" s="88" t="n"/>
      <c r="R36" s="88" t="n"/>
      <c r="S36" s="88" t="n"/>
      <c r="T36" s="38" t="n">
        <v>396.023</v>
      </c>
      <c r="U36" s="38" t="n">
        <v>433</v>
      </c>
      <c r="V36" s="38" t="n">
        <v>14</v>
      </c>
      <c r="W36" s="56" t="n"/>
      <c r="X36" s="56" t="n"/>
      <c r="Y36" s="56" t="n"/>
      <c r="Z36" s="56" t="n"/>
      <c r="AA36" s="56" t="n"/>
      <c r="AB36" s="56" t="n"/>
      <c r="AC36" s="56" t="n"/>
      <c r="AD36" s="56" t="n"/>
    </row>
    <row r="37" ht="27" customHeight="1" s="53">
      <c r="A37" s="95" t="inlineStr">
        <is>
          <t>7日预测值</t>
        </is>
      </c>
      <c r="B37" s="96">
        <f>C37+D37+E37</f>
        <v/>
      </c>
      <c r="C37" s="96">
        <f>C28+G28+K28+O28+S28+W28+AA28</f>
        <v/>
      </c>
      <c r="D37" s="96">
        <f>D28+H28+L28+P28+T28+X28+AB28</f>
        <v/>
      </c>
      <c r="E37" s="96">
        <f>E28+I28+M28+Q28+U28+Y28+AC28</f>
        <v/>
      </c>
      <c r="F37" s="85" t="n"/>
      <c r="G37" s="85" t="n"/>
      <c r="H37" s="88" t="n"/>
      <c r="I37" s="88" t="n"/>
      <c r="J37" s="87" t="n"/>
      <c r="K37" s="56" t="n"/>
      <c r="L37" s="56" t="n"/>
      <c r="M37" s="56" t="n"/>
      <c r="N37" s="56" t="n"/>
      <c r="O37" s="56" t="n"/>
      <c r="P37" s="96">
        <f>B37</f>
        <v/>
      </c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56" t="n"/>
      <c r="AA37" s="56" t="n"/>
      <c r="AB37" s="56" t="n"/>
      <c r="AC37" s="56" t="n"/>
      <c r="AD37" s="56" t="n"/>
    </row>
    <row r="38" ht="22.5" customHeight="1" s="53">
      <c r="A38" s="95" t="inlineStr">
        <is>
          <t>目标值</t>
        </is>
      </c>
      <c r="B38" s="96" t="n">
        <v>678</v>
      </c>
      <c r="C38" s="96" t="n">
        <v>70</v>
      </c>
      <c r="D38" s="96" t="n">
        <v>230</v>
      </c>
      <c r="E38" s="96" t="n">
        <v>378</v>
      </c>
      <c r="F38" s="56" t="n"/>
      <c r="G38" s="56" t="n"/>
      <c r="H38" s="56" t="n"/>
      <c r="I38" s="56" t="n"/>
      <c r="J38" s="56" t="n"/>
      <c r="K38" s="97" t="n"/>
      <c r="L38" s="56" t="n"/>
      <c r="M38" s="56" t="n"/>
      <c r="N38" s="56" t="n"/>
      <c r="O38" s="35" t="n"/>
      <c r="P38" s="96" t="n">
        <v>800</v>
      </c>
      <c r="Q38" s="88" t="n"/>
      <c r="R38" s="88" t="n"/>
      <c r="S38" s="88" t="n"/>
      <c r="T38" s="9">
        <f>T36-E37</f>
        <v/>
      </c>
      <c r="U38" s="9">
        <f>B38-U36</f>
        <v/>
      </c>
      <c r="V38" s="9">
        <f>U38/V36</f>
        <v/>
      </c>
      <c r="W38" s="39" t="n"/>
      <c r="X38" s="56" t="n"/>
      <c r="Y38" s="39" t="n"/>
      <c r="Z38" s="56" t="n"/>
      <c r="AA38" s="56" t="n"/>
      <c r="AB38" s="56" t="n"/>
      <c r="AC38" s="56" t="n"/>
      <c r="AD38" s="56" t="n"/>
    </row>
    <row r="39" ht="27" customHeight="1" s="53">
      <c r="A39" s="98" t="inlineStr">
        <is>
          <t>预测与目标值差值</t>
        </is>
      </c>
      <c r="B39" s="99">
        <f>B37-B38</f>
        <v/>
      </c>
      <c r="C39" s="99">
        <f>C37-C38</f>
        <v/>
      </c>
      <c r="D39" s="99">
        <f>D37-D38</f>
        <v/>
      </c>
      <c r="E39" s="99">
        <f>E37-E38</f>
        <v/>
      </c>
      <c r="F39" s="56" t="n"/>
      <c r="G39" s="56" t="n"/>
      <c r="H39" s="56" t="n"/>
      <c r="I39" s="56" t="n"/>
      <c r="J39" s="56" t="n"/>
      <c r="K39" s="97" t="n"/>
      <c r="L39" s="56" t="n"/>
      <c r="M39" s="56" t="n"/>
      <c r="N39" s="56" t="n"/>
      <c r="O39" s="56" t="n"/>
      <c r="P39" s="99">
        <f>P37-P38</f>
        <v/>
      </c>
      <c r="Q39" s="88" t="n"/>
      <c r="R39" s="88" t="n"/>
      <c r="S39" s="88" t="n"/>
      <c r="T39" s="56" t="n"/>
      <c r="U39" s="39" t="n"/>
      <c r="V39" s="56" t="n"/>
      <c r="W39" s="39" t="n"/>
      <c r="X39" s="56" t="n"/>
      <c r="Y39" s="39" t="n"/>
      <c r="Z39" s="56" t="n"/>
      <c r="AA39" s="56" t="n"/>
      <c r="AB39" s="56" t="n"/>
      <c r="AC39" s="56" t="n"/>
      <c r="AD39" s="100" t="n"/>
    </row>
    <row r="40" ht="22.5" customHeight="1" s="53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97" t="n"/>
      <c r="L40" s="56" t="n"/>
      <c r="M40" s="56" t="n"/>
      <c r="N40" s="56" t="n"/>
      <c r="O40" s="56" t="n"/>
      <c r="P40" s="89" t="n"/>
      <c r="Q40" s="88" t="n"/>
      <c r="R40" s="89">
        <f>970*0.8</f>
        <v/>
      </c>
      <c r="S40" s="88" t="n"/>
      <c r="T40" s="56" t="n"/>
      <c r="U40" s="39" t="n"/>
      <c r="V40" s="56" t="n"/>
      <c r="W40" s="39" t="n"/>
      <c r="X40" s="56" t="n"/>
      <c r="Y40" s="39" t="n"/>
      <c r="Z40" s="56" t="n"/>
      <c r="AA40" s="56" t="n"/>
      <c r="AB40" s="56" t="n"/>
      <c r="AC40" s="56" t="n"/>
      <c r="AD40" s="56" t="n"/>
    </row>
  </sheetData>
  <mergeCells count="9">
    <mergeCell ref="A35:E35"/>
    <mergeCell ref="A1:AC1"/>
    <mergeCell ref="F2:I2"/>
    <mergeCell ref="V2:Y2"/>
    <mergeCell ref="Z2:AC2"/>
    <mergeCell ref="J2:M2"/>
    <mergeCell ref="B2:E2"/>
    <mergeCell ref="N2:Q2"/>
    <mergeCell ref="R2:U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2026-01-09T06:36:43Z</dcterms:modified>
  <cp:lastModifiedBy>明瀚 江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2052-12.1.0.22175</vt:lpwstr>
  </property>
  <property name="ICV" fmtid="{D5CDD505-2E9C-101B-9397-08002B2CF9AE}" pid="3">
    <vt:lpwstr xmlns:vt="http://schemas.openxmlformats.org/officeDocument/2006/docPropsVTypes">6DC8A4FF3325401CB1BF50B0BB80837D_12</vt:lpwstr>
  </property>
</Properties>
</file>