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重启环保平台\Auto\"/>
    </mc:Choice>
  </mc:AlternateContent>
  <xr:revisionPtr revIDLastSave="0" documentId="13_ncr:1_{5B64AA71-B6A7-48C2-94FD-48E1511DA5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V38" i="1"/>
  <c r="U38" i="1"/>
  <c r="AC32" i="1"/>
  <c r="AB32" i="1"/>
  <c r="AA32" i="1"/>
  <c r="Z32" i="1"/>
  <c r="Y32" i="1"/>
  <c r="X32" i="1"/>
  <c r="W32" i="1"/>
  <c r="V32" i="1"/>
  <c r="U32" i="1"/>
  <c r="T32" i="1"/>
  <c r="S32" i="1"/>
  <c r="R32" i="1"/>
  <c r="E32" i="1"/>
  <c r="D32" i="1"/>
  <c r="C32" i="1"/>
  <c r="B32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29" i="1"/>
  <c r="AB29" i="1"/>
  <c r="AA29" i="1"/>
  <c r="Y29" i="1"/>
  <c r="X29" i="1"/>
  <c r="W29" i="1"/>
  <c r="U29" i="1"/>
  <c r="T29" i="1"/>
  <c r="S29" i="1"/>
  <c r="Q29" i="1"/>
  <c r="P29" i="1"/>
  <c r="O29" i="1"/>
  <c r="M29" i="1"/>
  <c r="L29" i="1"/>
  <c r="K29" i="1"/>
  <c r="I29" i="1"/>
  <c r="H29" i="1"/>
  <c r="G29" i="1"/>
  <c r="E29" i="1"/>
  <c r="D29" i="1"/>
  <c r="C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D27" i="1"/>
  <c r="C37" i="1" l="1"/>
  <c r="D37" i="1"/>
  <c r="D39" i="1" s="1"/>
  <c r="E37" i="1"/>
  <c r="C39" i="1"/>
  <c r="B37" i="1"/>
  <c r="E39" i="1"/>
  <c r="T38" i="1"/>
  <c r="B39" i="1" l="1"/>
  <c r="P37" i="1"/>
  <c r="P39" i="1" s="1"/>
</calcChain>
</file>

<file path=xl/sharedStrings.xml><?xml version="1.0" encoding="utf-8"?>
<sst xmlns="http://schemas.openxmlformats.org/spreadsheetml/2006/main" count="51" uniqueCount="27">
  <si>
    <t>热电公司排放总量管控数据</t>
  </si>
  <si>
    <t>北厂#1炉</t>
  </si>
  <si>
    <t>北厂#2炉</t>
  </si>
  <si>
    <t>北厂#3炉</t>
  </si>
  <si>
    <t>北厂#4炉</t>
  </si>
  <si>
    <t>北厂#5炉</t>
  </si>
  <si>
    <t>南厂#1炉</t>
  </si>
  <si>
    <t>南厂#2炉</t>
  </si>
  <si>
    <t>时间</t>
  </si>
  <si>
    <t>烟气量</t>
  </si>
  <si>
    <t>粉尘</t>
  </si>
  <si>
    <t>SO2</t>
  </si>
  <si>
    <t>Nox</t>
  </si>
  <si>
    <t>日总量</t>
  </si>
  <si>
    <t>实测值</t>
  </si>
  <si>
    <t>当前均值</t>
  </si>
  <si>
    <t>昨日均值</t>
  </si>
  <si>
    <t>22:00－8:00</t>
  </si>
  <si>
    <t>热电污染物排放管控</t>
  </si>
  <si>
    <t>日期</t>
  </si>
  <si>
    <t>三项总量</t>
  </si>
  <si>
    <t>烟尘排放量</t>
  </si>
  <si>
    <t>二氧化硫排放量</t>
  </si>
  <si>
    <t>氮氧化物排放量</t>
  </si>
  <si>
    <t>7日预测值</t>
  </si>
  <si>
    <t>目标值</t>
  </si>
  <si>
    <t>预测与目标值差值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</si>
</sst>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[$-F400]h:mm:ss\ AM/PM"/>
    <numFmt numFmtId="179" formatCode="#,##0.000"/>
    <numFmt numFmtId="180" formatCode="0.00_);[Red]\(0.00\)"/>
    <numFmt numFmtId="181" formatCode="0.00_ "/>
  </numFmts>
  <fonts count="13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000C17"/>
      <name val="Segoe UI"/>
      <family val="2"/>
    </font>
    <font>
      <sz val="11"/>
      <name val="宋体"/>
      <family val="3"/>
      <charset val="134"/>
      <scheme val="minor"/>
    </font>
    <font>
      <b/>
      <sz val="11"/>
      <name val="Arial"/>
      <family val="2"/>
    </font>
    <font>
      <sz val="10.5"/>
      <color theme="1"/>
      <name val="宋体"/>
      <family val="3"/>
      <charset val="134"/>
    </font>
    <font>
      <sz val="10.5"/>
      <color rgb="FF000C17"/>
      <name val="Segoe UI"/>
      <family val="2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</cellStyleXfs>
  <cellXfs count="53">
    <xf numFmtId="0" fontId="0" fillId="0" borderId="0" xfId="0">
      <alignment vertical="center"/>
    </xf>
    <xf numFmtId="178" fontId="0" fillId="0" borderId="3" xfId="0" applyNumberFormat="1" applyBorder="1">
      <alignment vertical="center"/>
    </xf>
    <xf numFmtId="178" fontId="0" fillId="0" borderId="9" xfId="0" applyNumberFormat="1" applyBorder="1" applyAlignment="1">
      <alignment horizontal="center" vertical="center"/>
    </xf>
    <xf numFmtId="178" fontId="2" fillId="0" borderId="10" xfId="2" applyBorder="1" applyAlignment="1">
      <alignment horizontal="center" vertical="center" wrapText="1"/>
    </xf>
    <xf numFmtId="178" fontId="0" fillId="0" borderId="11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179" fontId="2" fillId="0" borderId="15" xfId="3" applyNumberFormat="1" applyBorder="1" applyAlignment="1">
      <alignment horizontal="center" vertical="center" wrapText="1"/>
    </xf>
    <xf numFmtId="0" fontId="2" fillId="0" borderId="15" xfId="4" applyNumberFormat="1" applyBorder="1" applyAlignment="1">
      <alignment horizontal="center" vertical="center" wrapText="1"/>
    </xf>
    <xf numFmtId="178" fontId="0" fillId="0" borderId="16" xfId="0" applyNumberFormat="1" applyBorder="1" applyAlignment="1">
      <alignment horizontal="center" vertical="center"/>
    </xf>
    <xf numFmtId="180" fontId="2" fillId="2" borderId="17" xfId="5" applyNumberFormat="1" applyFill="1" applyBorder="1" applyAlignment="1">
      <alignment horizontal="center" vertical="center" wrapText="1"/>
    </xf>
    <xf numFmtId="179" fontId="2" fillId="0" borderId="18" xfId="6" applyNumberFormat="1" applyBorder="1" applyAlignment="1">
      <alignment horizontal="center" vertical="center" wrapText="1"/>
    </xf>
    <xf numFmtId="179" fontId="2" fillId="0" borderId="15" xfId="6" applyNumberFormat="1" applyBorder="1" applyAlignment="1">
      <alignment horizontal="center" vertical="center" wrapText="1"/>
    </xf>
    <xf numFmtId="179" fontId="2" fillId="0" borderId="18" xfId="7" applyNumberFormat="1" applyBorder="1" applyAlignment="1">
      <alignment horizontal="center" vertical="center" wrapText="1"/>
    </xf>
    <xf numFmtId="179" fontId="2" fillId="0" borderId="15" xfId="7" applyNumberFormat="1" applyBorder="1" applyAlignment="1">
      <alignment horizontal="center" vertical="center" wrapText="1"/>
    </xf>
    <xf numFmtId="179" fontId="2" fillId="0" borderId="18" xfId="8" applyNumberFormat="1" applyBorder="1" applyAlignment="1">
      <alignment horizontal="center" vertical="center" wrapText="1"/>
    </xf>
    <xf numFmtId="179" fontId="2" fillId="0" borderId="15" xfId="8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left" vertical="center"/>
    </xf>
    <xf numFmtId="178" fontId="5" fillId="0" borderId="16" xfId="0" applyNumberFormat="1" applyFont="1" applyBorder="1" applyAlignment="1">
      <alignment horizontal="left" vertical="top"/>
    </xf>
    <xf numFmtId="178" fontId="2" fillId="0" borderId="0" xfId="9" applyAlignment="1">
      <alignment horizontal="center" vertical="center" wrapText="1"/>
    </xf>
    <xf numFmtId="178" fontId="6" fillId="3" borderId="16" xfId="0" applyNumberFormat="1" applyFont="1" applyFill="1" applyBorder="1" applyAlignment="1">
      <alignment horizontal="center" vertical="center" wrapText="1"/>
    </xf>
    <xf numFmtId="180" fontId="7" fillId="4" borderId="16" xfId="10" applyNumberFormat="1" applyFont="1" applyFill="1" applyBorder="1" applyAlignment="1">
      <alignment horizontal="center" vertical="center" wrapText="1"/>
    </xf>
    <xf numFmtId="178" fontId="6" fillId="0" borderId="16" xfId="0" applyNumberFormat="1" applyFont="1" applyBorder="1" applyAlignment="1">
      <alignment horizontal="center" vertical="center" wrapText="1"/>
    </xf>
    <xf numFmtId="181" fontId="7" fillId="5" borderId="16" xfId="10" applyNumberFormat="1" applyFont="1" applyFill="1" applyBorder="1" applyAlignment="1">
      <alignment horizontal="center" vertical="center" wrapText="1"/>
    </xf>
    <xf numFmtId="178" fontId="0" fillId="0" borderId="23" xfId="0" applyNumberFormat="1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9" fontId="2" fillId="0" borderId="15" xfId="11" applyNumberFormat="1" applyBorder="1" applyAlignment="1">
      <alignment horizontal="center" vertical="center" wrapText="1"/>
    </xf>
    <xf numFmtId="179" fontId="2" fillId="0" borderId="0" xfId="9" applyNumberFormat="1" applyAlignment="1">
      <alignment horizontal="center" vertical="center" wrapText="1"/>
    </xf>
    <xf numFmtId="178" fontId="9" fillId="0" borderId="0" xfId="0" applyNumberFormat="1" applyFont="1">
      <alignment vertical="center"/>
    </xf>
    <xf numFmtId="0" fontId="0" fillId="0" borderId="0" xfId="1" applyNumberFormat="1" applyFont="1" applyAlignment="1">
      <alignment horizontal="center" vertical="center"/>
    </xf>
    <xf numFmtId="178" fontId="1" fillId="0" borderId="0" xfId="0" applyNumberFormat="1" applyFont="1">
      <alignment vertical="center"/>
    </xf>
    <xf numFmtId="180" fontId="2" fillId="0" borderId="0" xfId="9" applyNumberFormat="1" applyAlignment="1">
      <alignment horizontal="center" vertical="center" wrapText="1"/>
    </xf>
    <xf numFmtId="0" fontId="2" fillId="0" borderId="15" xfId="1" applyNumberFormat="1" applyFont="1" applyFill="1" applyBorder="1" applyAlignment="1" applyProtection="1">
      <alignment horizontal="center" vertical="center" wrapText="1"/>
    </xf>
    <xf numFmtId="0" fontId="10" fillId="0" borderId="0" xfId="0" applyFo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8" fontId="1" fillId="0" borderId="19" xfId="0" applyNumberFormat="1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/>
    </xf>
  </cellXfs>
  <cellStyles count="12">
    <cellStyle name="百分比" xfId="1" builtinId="5"/>
    <cellStyle name="常规" xfId="0" builtinId="0"/>
    <cellStyle name="常规 126" xfId="2" xr:uid="{00000000-0005-0000-0000-000031000000}"/>
    <cellStyle name="常规 159" xfId="5" xr:uid="{00000000-0005-0000-0000-000034000000}"/>
    <cellStyle name="常规 195" xfId="10" xr:uid="{00000000-0005-0000-0000-000039000000}"/>
    <cellStyle name="常规 465" xfId="6" xr:uid="{00000000-0005-0000-0000-000035000000}"/>
    <cellStyle name="常规 505" xfId="8" xr:uid="{00000000-0005-0000-0000-000037000000}"/>
    <cellStyle name="常规 574" xfId="11" xr:uid="{00000000-0005-0000-0000-00003A000000}"/>
    <cellStyle name="常规 5984" xfId="9" xr:uid="{00000000-0005-0000-0000-000038000000}"/>
    <cellStyle name="常规 6559" xfId="3" xr:uid="{00000000-0005-0000-0000-000032000000}"/>
    <cellStyle name="常规 7834" xfId="4" xr:uid="{00000000-0005-0000-0000-000033000000}"/>
    <cellStyle name="常规 923" xfId="7" xr:uid="{00000000-0005-0000-0000-000036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workbookViewId="0">
      <selection activeCell="P18" sqref="P18"/>
    </sheetView>
  </sheetViews>
  <sheetFormatPr defaultColWidth="9" defaultRowHeight="13.5" x14ac:dyDescent="0.15"/>
  <sheetData>
    <row r="1" spans="1:30" ht="22.5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18"/>
    </row>
    <row r="2" spans="1:30" x14ac:dyDescent="0.15">
      <c r="A2" s="1"/>
      <c r="B2" s="44" t="s">
        <v>1</v>
      </c>
      <c r="C2" s="45"/>
      <c r="D2" s="45"/>
      <c r="E2" s="46"/>
      <c r="F2" s="47" t="s">
        <v>2</v>
      </c>
      <c r="G2" s="48"/>
      <c r="H2" s="48"/>
      <c r="I2" s="49"/>
      <c r="J2" s="47" t="s">
        <v>3</v>
      </c>
      <c r="K2" s="48"/>
      <c r="L2" s="48"/>
      <c r="M2" s="49"/>
      <c r="N2" s="47" t="s">
        <v>4</v>
      </c>
      <c r="O2" s="48"/>
      <c r="P2" s="48"/>
      <c r="Q2" s="49"/>
      <c r="R2" s="47" t="s">
        <v>5</v>
      </c>
      <c r="S2" s="48"/>
      <c r="T2" s="48"/>
      <c r="U2" s="49"/>
      <c r="V2" s="47" t="s">
        <v>6</v>
      </c>
      <c r="W2" s="48"/>
      <c r="X2" s="48"/>
      <c r="Y2" s="49"/>
      <c r="Z2" s="47" t="s">
        <v>7</v>
      </c>
      <c r="AA2" s="48"/>
      <c r="AB2" s="48"/>
      <c r="AC2" s="49"/>
      <c r="AD2" s="18"/>
    </row>
    <row r="3" spans="1:30" x14ac:dyDescent="0.15">
      <c r="A3" s="2" t="s">
        <v>8</v>
      </c>
      <c r="B3" s="3" t="s">
        <v>9</v>
      </c>
      <c r="C3" s="4" t="s">
        <v>10</v>
      </c>
      <c r="D3" s="4" t="s">
        <v>11</v>
      </c>
      <c r="E3" s="5" t="s">
        <v>12</v>
      </c>
      <c r="F3" s="6" t="s">
        <v>9</v>
      </c>
      <c r="G3" s="4" t="s">
        <v>10</v>
      </c>
      <c r="H3" s="4" t="s">
        <v>11</v>
      </c>
      <c r="I3" s="29" t="s">
        <v>12</v>
      </c>
      <c r="J3" s="10" t="s">
        <v>9</v>
      </c>
      <c r="K3" s="30" t="s">
        <v>10</v>
      </c>
      <c r="L3" s="4" t="s">
        <v>11</v>
      </c>
      <c r="M3" s="5" t="s">
        <v>12</v>
      </c>
      <c r="N3" s="10" t="s">
        <v>9</v>
      </c>
      <c r="O3" s="31" t="s">
        <v>10</v>
      </c>
      <c r="P3" s="4" t="s">
        <v>11</v>
      </c>
      <c r="Q3" s="5" t="s">
        <v>12</v>
      </c>
      <c r="R3" s="6" t="s">
        <v>9</v>
      </c>
      <c r="S3" s="4" t="s">
        <v>10</v>
      </c>
      <c r="T3" s="4" t="s">
        <v>11</v>
      </c>
      <c r="U3" s="5" t="s">
        <v>12</v>
      </c>
      <c r="V3" s="6" t="s">
        <v>9</v>
      </c>
      <c r="W3" s="4" t="s">
        <v>10</v>
      </c>
      <c r="X3" s="4" t="s">
        <v>11</v>
      </c>
      <c r="Y3" s="5" t="s">
        <v>12</v>
      </c>
      <c r="Z3" s="6" t="s">
        <v>9</v>
      </c>
      <c r="AA3" s="4" t="s">
        <v>10</v>
      </c>
      <c r="AB3" s="4" t="s">
        <v>11</v>
      </c>
      <c r="AC3" s="5" t="s">
        <v>12</v>
      </c>
      <c r="AD3" s="18"/>
    </row>
    <row r="4" spans="1:30" x14ac:dyDescent="0.15">
      <c r="A4" s="7">
        <v>1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40"/>
    </row>
    <row r="5" spans="1:30" x14ac:dyDescent="0.15">
      <c r="A5" s="7">
        <v>1.0416666666666701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40"/>
    </row>
    <row r="6" spans="1:30" x14ac:dyDescent="0.15">
      <c r="A6" s="7">
        <v>1.0833333333333299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40"/>
    </row>
    <row r="7" spans="1:30" x14ac:dyDescent="0.15">
      <c r="A7" s="7">
        <v>1.12500000000001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0"/>
    </row>
    <row r="8" spans="1:30" x14ac:dyDescent="0.15">
      <c r="A8" s="7">
        <v>1.1666666666666601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0"/>
    </row>
    <row r="9" spans="1:30" x14ac:dyDescent="0.15">
      <c r="A9" s="7">
        <v>1.2083333333333499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40"/>
    </row>
    <row r="10" spans="1:30" x14ac:dyDescent="0.15">
      <c r="A10" s="7">
        <v>1.25000000000002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40"/>
    </row>
    <row r="11" spans="1:30" x14ac:dyDescent="0.15">
      <c r="A11" s="7">
        <v>1.2916666666666901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40"/>
    </row>
    <row r="12" spans="1:30" x14ac:dyDescent="0.15">
      <c r="A12" s="7">
        <v>1.3333333333333599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40"/>
    </row>
    <row r="13" spans="1:30" x14ac:dyDescent="0.15">
      <c r="A13" s="7">
        <v>1.37500000000003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40"/>
    </row>
    <row r="14" spans="1:30" x14ac:dyDescent="0.15">
      <c r="A14" s="7">
        <v>1.4166666666667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40"/>
    </row>
    <row r="15" spans="1:30" x14ac:dyDescent="0.15">
      <c r="A15" s="7">
        <v>1.4583333333333699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40"/>
    </row>
    <row r="16" spans="1:30" x14ac:dyDescent="0.15">
      <c r="A16" s="7">
        <v>1.50000000000004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40"/>
    </row>
    <row r="17" spans="1:30" x14ac:dyDescent="0.15">
      <c r="A17" s="7">
        <v>1.54166666666671</v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40"/>
    </row>
    <row r="18" spans="1:30" x14ac:dyDescent="0.15">
      <c r="A18" s="7">
        <v>1.5833333333333699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40"/>
    </row>
    <row r="19" spans="1:30" x14ac:dyDescent="0.15">
      <c r="A19" s="7">
        <v>1.62500000000004</v>
      </c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40"/>
    </row>
    <row r="20" spans="1:30" x14ac:dyDescent="0.15">
      <c r="A20" s="7">
        <v>1.66666666666671</v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40"/>
    </row>
    <row r="21" spans="1:30" x14ac:dyDescent="0.15">
      <c r="A21" s="7">
        <v>1.7083333333333699</v>
      </c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40"/>
    </row>
    <row r="22" spans="1:30" x14ac:dyDescent="0.15">
      <c r="A22" s="7">
        <v>1.75000000000004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40"/>
    </row>
    <row r="23" spans="1:30" x14ac:dyDescent="0.15">
      <c r="A23" s="7">
        <v>1.79166666666673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40"/>
    </row>
    <row r="24" spans="1:30" x14ac:dyDescent="0.15">
      <c r="A24" s="7">
        <v>1.8333333333334001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40"/>
    </row>
    <row r="25" spans="1:30" x14ac:dyDescent="0.15">
      <c r="A25" s="7">
        <v>1.8750000000000699</v>
      </c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40"/>
    </row>
    <row r="26" spans="1:30" x14ac:dyDescent="0.15">
      <c r="A26" s="7">
        <v>1.91666666666674</v>
      </c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40"/>
    </row>
    <row r="27" spans="1:30" x14ac:dyDescent="0.15">
      <c r="A27" s="7">
        <v>1.9583333333334101</v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40">
        <f t="shared" ref="AD5:AD27" si="0">SUM(C27:AC27)</f>
        <v>0</v>
      </c>
    </row>
    <row r="28" spans="1:30" x14ac:dyDescent="0.15">
      <c r="A28" s="10" t="s">
        <v>13</v>
      </c>
      <c r="B28" s="11">
        <f t="shared" ref="B28:AC28" si="1">SUM(B4:B27)</f>
        <v>0</v>
      </c>
      <c r="C28" s="11">
        <f t="shared" si="1"/>
        <v>0</v>
      </c>
      <c r="D28" s="11">
        <f t="shared" si="1"/>
        <v>0</v>
      </c>
      <c r="E28" s="11">
        <f t="shared" si="1"/>
        <v>0</v>
      </c>
      <c r="F28" s="11">
        <f t="shared" si="1"/>
        <v>0</v>
      </c>
      <c r="G28" s="11">
        <f t="shared" si="1"/>
        <v>0</v>
      </c>
      <c r="H28" s="11">
        <f t="shared" si="1"/>
        <v>0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1">
        <f t="shared" si="1"/>
        <v>0</v>
      </c>
      <c r="M28" s="11">
        <f t="shared" si="1"/>
        <v>0</v>
      </c>
      <c r="N28" s="11">
        <f t="shared" si="1"/>
        <v>0</v>
      </c>
      <c r="O28" s="11">
        <f t="shared" si="1"/>
        <v>0</v>
      </c>
      <c r="P28" s="11">
        <f t="shared" si="1"/>
        <v>0</v>
      </c>
      <c r="Q28" s="11">
        <f t="shared" si="1"/>
        <v>0</v>
      </c>
      <c r="R28" s="11">
        <f t="shared" si="1"/>
        <v>0</v>
      </c>
      <c r="S28" s="11">
        <f t="shared" si="1"/>
        <v>0</v>
      </c>
      <c r="T28" s="11">
        <f t="shared" si="1"/>
        <v>0</v>
      </c>
      <c r="U28" s="11">
        <f t="shared" si="1"/>
        <v>0</v>
      </c>
      <c r="V28" s="11">
        <f t="shared" si="1"/>
        <v>0</v>
      </c>
      <c r="W28" s="11">
        <f t="shared" si="1"/>
        <v>0</v>
      </c>
      <c r="X28" s="11">
        <f t="shared" si="1"/>
        <v>0</v>
      </c>
      <c r="Y28" s="11">
        <f t="shared" si="1"/>
        <v>0</v>
      </c>
      <c r="Z28" s="11">
        <f t="shared" si="1"/>
        <v>0</v>
      </c>
      <c r="AA28" s="11">
        <f t="shared" si="1"/>
        <v>0</v>
      </c>
      <c r="AB28" s="11">
        <f t="shared" si="1"/>
        <v>0</v>
      </c>
      <c r="AC28" s="11">
        <f t="shared" si="1"/>
        <v>0</v>
      </c>
      <c r="AD28" s="40"/>
    </row>
    <row r="29" spans="1:30" x14ac:dyDescent="0.15">
      <c r="A29" s="10" t="s">
        <v>14</v>
      </c>
      <c r="B29" s="12"/>
      <c r="C29" s="13" t="e">
        <f>#REF!/#REF!*1000000</f>
        <v>#REF!</v>
      </c>
      <c r="D29" s="13" t="e">
        <f>#REF!/#REF!*1000000</f>
        <v>#REF!</v>
      </c>
      <c r="E29" s="13" t="e">
        <f>#REF!/#REF!*1000000</f>
        <v>#REF!</v>
      </c>
      <c r="F29" s="13"/>
      <c r="G29" s="13" t="e">
        <f>#REF!/#REF!*1000000</f>
        <v>#REF!</v>
      </c>
      <c r="H29" s="13" t="e">
        <f>#REF!/#REF!*1000000</f>
        <v>#REF!</v>
      </c>
      <c r="I29" s="13" t="e">
        <f>#REF!/#REF!*1000000</f>
        <v>#REF!</v>
      </c>
      <c r="J29" s="13"/>
      <c r="K29" s="13" t="e">
        <f>#REF!/#REF!*1000000</f>
        <v>#REF!</v>
      </c>
      <c r="L29" s="13" t="e">
        <f>#REF!/#REF!*1000000</f>
        <v>#REF!</v>
      </c>
      <c r="M29" s="13" t="e">
        <f>#REF!/#REF!*1000000</f>
        <v>#REF!</v>
      </c>
      <c r="N29" s="13"/>
      <c r="O29" s="13" t="e">
        <f>#REF!/#REF!*1000000</f>
        <v>#REF!</v>
      </c>
      <c r="P29" s="13" t="e">
        <f>#REF!/#REF!*1000000</f>
        <v>#REF!</v>
      </c>
      <c r="Q29" s="13" t="e">
        <f>#REF!/#REF!*1000000</f>
        <v>#REF!</v>
      </c>
      <c r="R29" s="13"/>
      <c r="S29" s="13" t="e">
        <f>#REF!/#REF!*1000000</f>
        <v>#REF!</v>
      </c>
      <c r="T29" s="13" t="e">
        <f>#REF!/#REF!*1000000</f>
        <v>#REF!</v>
      </c>
      <c r="U29" s="13" t="e">
        <f>#REF!/#REF!*1000000</f>
        <v>#REF!</v>
      </c>
      <c r="V29" s="13"/>
      <c r="W29" s="13" t="e">
        <f>#REF!/#REF!*1000000</f>
        <v>#REF!</v>
      </c>
      <c r="X29" s="13" t="e">
        <f>#REF!/#REF!*1000000</f>
        <v>#REF!</v>
      </c>
      <c r="Y29" s="13" t="e">
        <f>#REF!/#REF!*1000000</f>
        <v>#REF!</v>
      </c>
      <c r="Z29" s="13"/>
      <c r="AA29" s="13" t="e">
        <f>#REF!/#REF!*1000000</f>
        <v>#REF!</v>
      </c>
      <c r="AB29" s="13" t="e">
        <f>#REF!/#REF!*1000000</f>
        <v>#REF!</v>
      </c>
      <c r="AC29" s="13" t="e">
        <f>#REF!/#REF!*1000000</f>
        <v>#REF!</v>
      </c>
      <c r="AD29" s="40"/>
    </row>
    <row r="30" spans="1:30" x14ac:dyDescent="0.15">
      <c r="A30" s="10" t="s">
        <v>15</v>
      </c>
      <c r="B30" s="12">
        <f>AVERAGE(A20:A27)</f>
        <v>1.81250000000006</v>
      </c>
      <c r="C30" s="13" t="e">
        <f>AVERAGE(C4:C6)</f>
        <v>#DIV/0!</v>
      </c>
      <c r="D30" s="13" t="e">
        <f>AVERAGE(D4:D6)</f>
        <v>#DIV/0!</v>
      </c>
      <c r="E30" s="13" t="e">
        <f>AVERAGE(#REF!)</f>
        <v>#REF!</v>
      </c>
      <c r="F30" s="13" t="e">
        <f>AVERAGE(#REF!)</f>
        <v>#REF!</v>
      </c>
      <c r="G30" s="13" t="e">
        <f t="shared" ref="G30:I30" si="2">AVERAGE(F4:F6)</f>
        <v>#DIV/0!</v>
      </c>
      <c r="H30" s="13" t="e">
        <f t="shared" si="2"/>
        <v>#DIV/0!</v>
      </c>
      <c r="I30" s="13" t="e">
        <f t="shared" si="2"/>
        <v>#DIV/0!</v>
      </c>
      <c r="J30" s="13" t="e">
        <f>AVERAGE(M4:M11)</f>
        <v>#DIV/0!</v>
      </c>
      <c r="K30" s="13" t="e">
        <f t="shared" ref="K30:M30" si="3">AVERAGE(K4:K27)</f>
        <v>#DIV/0!</v>
      </c>
      <c r="L30" s="13" t="e">
        <f t="shared" si="3"/>
        <v>#DIV/0!</v>
      </c>
      <c r="M30" s="13" t="e">
        <f t="shared" si="3"/>
        <v>#DIV/0!</v>
      </c>
      <c r="N30" s="13" t="e">
        <f>AVERAGE(#REF!)</f>
        <v>#REF!</v>
      </c>
      <c r="O30" s="13" t="e">
        <f t="shared" ref="O30:Q30" si="4">AVERAGE(O4:O27)</f>
        <v>#DIV/0!</v>
      </c>
      <c r="P30" s="13" t="e">
        <f t="shared" si="4"/>
        <v>#DIV/0!</v>
      </c>
      <c r="Q30" s="13" t="e">
        <f t="shared" si="4"/>
        <v>#DIV/0!</v>
      </c>
      <c r="R30" s="13" t="e">
        <f t="shared" ref="R30:T30" si="5">AVERAGE(R5:R27)</f>
        <v>#DIV/0!</v>
      </c>
      <c r="S30" s="13" t="e">
        <f t="shared" si="5"/>
        <v>#DIV/0!</v>
      </c>
      <c r="T30" s="13" t="e">
        <f t="shared" si="5"/>
        <v>#DIV/0!</v>
      </c>
      <c r="U30" s="13" t="e">
        <f>AVERAGE(U13:U27)</f>
        <v>#DIV/0!</v>
      </c>
      <c r="V30" s="13" t="e">
        <f>AVERAGE(V5:V27)</f>
        <v>#DIV/0!</v>
      </c>
      <c r="W30" s="13" t="e">
        <f>AVERAGE(W8:W27)</f>
        <v>#DIV/0!</v>
      </c>
      <c r="X30" s="13" t="e">
        <f>AVERAGE(X5:X27)</f>
        <v>#DIV/0!</v>
      </c>
      <c r="Y30" s="13" t="e">
        <f>AVERAGE(Y13:Y27)</f>
        <v>#DIV/0!</v>
      </c>
      <c r="Z30" s="13" t="e">
        <f t="shared" ref="Z30:AC30" si="6">AVERAGE(Z4:Z27)</f>
        <v>#DIV/0!</v>
      </c>
      <c r="AA30" s="13" t="e">
        <f t="shared" si="6"/>
        <v>#DIV/0!</v>
      </c>
      <c r="AB30" s="13" t="e">
        <f t="shared" si="6"/>
        <v>#DIV/0!</v>
      </c>
      <c r="AC30" s="13" t="e">
        <f t="shared" si="6"/>
        <v>#DIV/0!</v>
      </c>
      <c r="AD30" s="40"/>
    </row>
    <row r="31" spans="1:30" x14ac:dyDescent="0.15">
      <c r="A31" s="10" t="s">
        <v>16</v>
      </c>
      <c r="B31" s="14">
        <v>195929.587833333</v>
      </c>
      <c r="C31" s="15">
        <v>8.96666666666667E-2</v>
      </c>
      <c r="D31" s="15">
        <v>1.6407499999999999</v>
      </c>
      <c r="E31" s="15">
        <v>1.9890000000000001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3"/>
      <c r="S31" s="13"/>
      <c r="T31" s="13"/>
      <c r="U31" s="13"/>
      <c r="V31" s="15">
        <v>483907.8015</v>
      </c>
      <c r="W31" s="15">
        <v>0.61779166666666696</v>
      </c>
      <c r="X31" s="15">
        <v>4.6610833333333304</v>
      </c>
      <c r="Y31" s="15">
        <v>7.5264166666666696</v>
      </c>
      <c r="Z31" s="15">
        <v>501998.05116666702</v>
      </c>
      <c r="AA31" s="15">
        <v>2</v>
      </c>
      <c r="AB31" s="15">
        <v>5.6644166666666704</v>
      </c>
      <c r="AC31" s="15">
        <v>9.5420833333333306</v>
      </c>
      <c r="AD31" s="40"/>
    </row>
    <row r="32" spans="1:30" x14ac:dyDescent="0.15">
      <c r="A32" s="10" t="s">
        <v>17</v>
      </c>
      <c r="B32" s="16" t="e">
        <f>SUM(#REF!)</f>
        <v>#REF!</v>
      </c>
      <c r="C32" s="17" t="e">
        <f>SUM(#REF!)</f>
        <v>#REF!</v>
      </c>
      <c r="D32" s="17" t="e">
        <f>SUM(#REF!)</f>
        <v>#REF!</v>
      </c>
      <c r="E32" s="17" t="e">
        <f>SUM(#REF!)</f>
        <v>#REF!</v>
      </c>
      <c r="F32" s="17"/>
      <c r="G32" s="17"/>
      <c r="H32" s="17"/>
      <c r="I32" s="17"/>
      <c r="J32" s="17"/>
      <c r="K32" s="17"/>
      <c r="L32" s="32"/>
      <c r="M32" s="17"/>
      <c r="N32" s="17"/>
      <c r="O32" s="17"/>
      <c r="P32" s="32"/>
      <c r="Q32" s="17"/>
      <c r="R32" s="17" t="e">
        <f>SUM(#REF!)</f>
        <v>#REF!</v>
      </c>
      <c r="S32" s="17" t="e">
        <f>SUM(#REF!)</f>
        <v>#REF!</v>
      </c>
      <c r="T32" s="17" t="e">
        <f>SUM(#REF!)</f>
        <v>#REF!</v>
      </c>
      <c r="U32" s="17" t="e">
        <f>SUM(#REF!)</f>
        <v>#REF!</v>
      </c>
      <c r="V32" s="17" t="e">
        <f>SUM(#REF!)</f>
        <v>#REF!</v>
      </c>
      <c r="W32" s="17" t="e">
        <f>SUM(#REF!)</f>
        <v>#REF!</v>
      </c>
      <c r="X32" s="17" t="e">
        <f>SUM(#REF!)</f>
        <v>#REF!</v>
      </c>
      <c r="Y32" s="17" t="e">
        <f>SUM(#REF!)</f>
        <v>#REF!</v>
      </c>
      <c r="Z32" s="17" t="e">
        <f>SUM(#REF!)</f>
        <v>#REF!</v>
      </c>
      <c r="AA32" s="17" t="e">
        <f>SUM(#REF!)</f>
        <v>#REF!</v>
      </c>
      <c r="AB32" s="17" t="e">
        <f>SUM(#REF!)</f>
        <v>#REF!</v>
      </c>
      <c r="AC32" s="17" t="e">
        <f>SUM(#REF!)</f>
        <v>#REF!</v>
      </c>
      <c r="AD32" s="40"/>
    </row>
    <row r="33" spans="1:30" x14ac:dyDescent="0.15">
      <c r="A33" s="18"/>
      <c r="B33" s="19"/>
      <c r="C33" s="18"/>
      <c r="D33" s="18"/>
      <c r="E33" s="20"/>
      <c r="F33" s="21"/>
      <c r="G33" s="22"/>
      <c r="H33" s="18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18"/>
    </row>
    <row r="34" spans="1:30" x14ac:dyDescent="0.15">
      <c r="A34" s="18"/>
      <c r="B34" s="19"/>
      <c r="C34" s="18"/>
      <c r="D34" s="18"/>
      <c r="E34" s="18"/>
      <c r="F34" s="18"/>
      <c r="G34" s="21"/>
      <c r="H34" s="21"/>
      <c r="I34" s="21"/>
      <c r="J34" s="3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37"/>
      <c r="X34" s="37"/>
      <c r="Y34" s="37"/>
      <c r="Z34" s="18"/>
      <c r="AA34" s="18"/>
      <c r="AB34" s="18"/>
      <c r="AC34" s="18"/>
      <c r="AD34" s="18"/>
    </row>
    <row r="35" spans="1:30" ht="22.5" x14ac:dyDescent="0.15">
      <c r="A35" s="50" t="s">
        <v>18</v>
      </c>
      <c r="B35" s="51"/>
      <c r="C35" s="51"/>
      <c r="D35" s="51"/>
      <c r="E35" s="52"/>
      <c r="F35" s="18"/>
      <c r="G35" s="21"/>
      <c r="H35" s="21"/>
      <c r="I35" s="21"/>
      <c r="J35" s="33"/>
      <c r="K35" s="18"/>
      <c r="L35" s="18"/>
      <c r="M35" s="18"/>
      <c r="N35" s="18"/>
      <c r="O35" s="34"/>
      <c r="P35" s="24"/>
      <c r="Q35" s="24"/>
      <c r="R35" s="24"/>
      <c r="S35" s="24"/>
      <c r="T35" s="34"/>
      <c r="U35" s="34"/>
      <c r="V35" s="34"/>
      <c r="W35" s="24"/>
      <c r="X35" s="38"/>
      <c r="Y35" s="24"/>
      <c r="Z35" s="18"/>
      <c r="AA35" s="18"/>
      <c r="AB35" s="18"/>
      <c r="AC35" s="18"/>
      <c r="AD35" s="18"/>
    </row>
    <row r="36" spans="1:30" ht="16.5" x14ac:dyDescent="0.15">
      <c r="A36" s="10" t="s">
        <v>19</v>
      </c>
      <c r="B36" s="10" t="s">
        <v>20</v>
      </c>
      <c r="C36" s="10" t="s">
        <v>21</v>
      </c>
      <c r="D36" s="23" t="s">
        <v>22</v>
      </c>
      <c r="E36" s="23" t="s">
        <v>23</v>
      </c>
      <c r="F36" s="21"/>
      <c r="G36" s="22"/>
      <c r="H36" s="24"/>
      <c r="I36" s="24"/>
      <c r="J36" s="18"/>
      <c r="K36" s="18"/>
      <c r="L36" s="18"/>
      <c r="M36" s="18"/>
      <c r="N36" s="18"/>
      <c r="O36" s="35"/>
      <c r="P36" s="24"/>
      <c r="Q36" s="24"/>
      <c r="R36" s="24"/>
      <c r="S36" s="24"/>
      <c r="T36" s="38">
        <v>396.02300000000002</v>
      </c>
      <c r="U36" s="38">
        <v>433</v>
      </c>
      <c r="V36" s="38">
        <v>14</v>
      </c>
      <c r="W36" s="18"/>
      <c r="X36" s="18"/>
      <c r="Y36" s="18"/>
      <c r="Z36" s="18"/>
      <c r="AA36" s="18"/>
      <c r="AB36" s="18"/>
      <c r="AC36" s="18"/>
      <c r="AD36" s="18"/>
    </row>
    <row r="37" spans="1:30" ht="27" x14ac:dyDescent="0.15">
      <c r="A37" s="25" t="s">
        <v>24</v>
      </c>
      <c r="B37" s="26">
        <f>C37+D37+E37</f>
        <v>0</v>
      </c>
      <c r="C37" s="26">
        <f>C28+G28+K28+O28+S28+W28+AA28</f>
        <v>0</v>
      </c>
      <c r="D37" s="26">
        <f>D28+H28+L28+P28+T28+X28+AB28</f>
        <v>0</v>
      </c>
      <c r="E37" s="26">
        <f>E28+I28+M28+Q28+U28+Y28+AC28</f>
        <v>0</v>
      </c>
      <c r="F37" s="21"/>
      <c r="G37" s="21"/>
      <c r="H37" s="24"/>
      <c r="I37" s="24"/>
      <c r="J37" s="33"/>
      <c r="K37" s="18"/>
      <c r="L37" s="18"/>
      <c r="M37" s="18"/>
      <c r="N37" s="18"/>
      <c r="O37" s="18"/>
      <c r="P37" s="26">
        <f>B37</f>
        <v>0</v>
      </c>
      <c r="Q37" s="24"/>
      <c r="R37" s="24"/>
      <c r="S37" s="24"/>
      <c r="T37" s="24"/>
      <c r="U37" s="24"/>
      <c r="V37" s="24"/>
      <c r="W37" s="24"/>
      <c r="X37" s="24"/>
      <c r="Y37" s="24"/>
      <c r="Z37" s="18"/>
      <c r="AA37" s="18"/>
      <c r="AB37" s="18"/>
      <c r="AC37" s="18"/>
      <c r="AD37" s="18"/>
    </row>
    <row r="38" spans="1:30" ht="22.5" x14ac:dyDescent="0.15">
      <c r="A38" s="25" t="s">
        <v>25</v>
      </c>
      <c r="B38" s="26">
        <v>678</v>
      </c>
      <c r="C38" s="26">
        <v>70</v>
      </c>
      <c r="D38" s="26">
        <v>230</v>
      </c>
      <c r="E38" s="26">
        <v>378</v>
      </c>
      <c r="F38" s="18"/>
      <c r="G38" s="18"/>
      <c r="H38" s="18"/>
      <c r="I38" s="18"/>
      <c r="J38" s="18"/>
      <c r="K38" s="36"/>
      <c r="L38" s="18"/>
      <c r="M38" s="18"/>
      <c r="N38" s="18"/>
      <c r="O38" s="35"/>
      <c r="P38" s="26">
        <v>800</v>
      </c>
      <c r="Q38" s="24"/>
      <c r="R38" s="24"/>
      <c r="S38" s="24"/>
      <c r="T38" s="9">
        <f>T36-E37</f>
        <v>396.02300000000002</v>
      </c>
      <c r="U38" s="9">
        <f>B38-U36</f>
        <v>245</v>
      </c>
      <c r="V38" s="9">
        <f>U38/V36</f>
        <v>17.5</v>
      </c>
      <c r="W38" s="39"/>
      <c r="X38" s="18"/>
      <c r="Y38" s="39"/>
      <c r="Z38" s="18"/>
      <c r="AA38" s="18"/>
      <c r="AB38" s="18"/>
      <c r="AC38" s="18"/>
      <c r="AD38" s="18"/>
    </row>
    <row r="39" spans="1:30" ht="27" x14ac:dyDescent="0.15">
      <c r="A39" s="27" t="s">
        <v>26</v>
      </c>
      <c r="B39" s="28">
        <f>B37-B38</f>
        <v>-678</v>
      </c>
      <c r="C39" s="28">
        <f>C37-C38</f>
        <v>-70</v>
      </c>
      <c r="D39" s="28">
        <f>D37-D38</f>
        <v>-230</v>
      </c>
      <c r="E39" s="28">
        <f>E37-E38</f>
        <v>-378</v>
      </c>
      <c r="F39" s="18"/>
      <c r="G39" s="18"/>
      <c r="H39" s="18"/>
      <c r="I39" s="18"/>
      <c r="J39" s="18"/>
      <c r="K39" s="36"/>
      <c r="L39" s="18"/>
      <c r="M39" s="18"/>
      <c r="N39" s="18"/>
      <c r="O39" s="18"/>
      <c r="P39" s="28">
        <f>P37-P38</f>
        <v>-800</v>
      </c>
      <c r="Q39" s="24"/>
      <c r="R39" s="24"/>
      <c r="S39" s="24"/>
      <c r="T39" s="18"/>
      <c r="U39" s="39"/>
      <c r="V39" s="18"/>
      <c r="W39" s="39"/>
      <c r="X39" s="18"/>
      <c r="Y39" s="39"/>
      <c r="Z39" s="18"/>
      <c r="AA39" s="18"/>
      <c r="AB39" s="18"/>
      <c r="AC39" s="18"/>
      <c r="AD39" s="41"/>
    </row>
    <row r="40" spans="1:30" ht="22.5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36"/>
      <c r="L40" s="18"/>
      <c r="M40" s="18"/>
      <c r="N40" s="18"/>
      <c r="O40" s="18"/>
      <c r="P40" s="37"/>
      <c r="Q40" s="24"/>
      <c r="R40" s="37">
        <f>970*0.8</f>
        <v>776</v>
      </c>
      <c r="S40" s="24"/>
      <c r="T40" s="18"/>
      <c r="U40" s="39"/>
      <c r="V40" s="18"/>
      <c r="W40" s="39"/>
      <c r="X40" s="18"/>
      <c r="Y40" s="39"/>
      <c r="Z40" s="18"/>
      <c r="AA40" s="18"/>
      <c r="AB40" s="18"/>
      <c r="AC40" s="18"/>
      <c r="AD40" s="18"/>
    </row>
  </sheetData>
  <mergeCells count="9">
    <mergeCell ref="A35:E35"/>
    <mergeCell ref="A1:AC1"/>
    <mergeCell ref="B2:E2"/>
    <mergeCell ref="F2:I2"/>
    <mergeCell ref="J2:M2"/>
    <mergeCell ref="N2:Q2"/>
    <mergeCell ref="R2:U2"/>
    <mergeCell ref="V2:Y2"/>
    <mergeCell ref="Z2:AC2"/>
  </mergeCells>
  <phoneticPr fontId="12" type="noConversion"/>
  <conditionalFormatting sqref="B38">
    <cfRule type="colorScale" priority="4">
      <colorScale>
        <cfvo type="num" val="&quot;&lt;0&quot;"/>
        <cfvo type="max"/>
        <color rgb="FFFF7128"/>
        <color rgb="FFFFEF9C"/>
      </colorScale>
    </cfRule>
  </conditionalFormatting>
  <conditionalFormatting sqref="B39">
    <cfRule type="cellIs" dxfId="0" priority="8" operator="greaterThan">
      <formula>0</formula>
    </cfRule>
    <cfRule type="colorScale" priority="9">
      <colorScale>
        <cfvo type="num" val="&quot;&lt;0&quot;"/>
        <cfvo type="max"/>
        <color rgb="FFFF7128"/>
        <color rgb="FFFFEF9C"/>
      </colorScale>
    </cfRule>
  </conditionalFormatting>
  <conditionalFormatting sqref="B37:E37 B39">
    <cfRule type="colorScale" priority="5">
      <colorScale>
        <cfvo type="num" val="&quot;&lt;0&quot;"/>
        <cfvo type="max"/>
        <color rgb="FFFF7128"/>
        <color rgb="FFFFEF9C"/>
      </colorScale>
    </cfRule>
  </conditionalFormatting>
  <conditionalFormatting sqref="C37:E37">
    <cfRule type="colorScale" priority="10">
      <colorScale>
        <cfvo type="num" val="&quot;&lt;0&quot;"/>
        <cfvo type="max"/>
        <color rgb="FFFF7128"/>
        <color rgb="FFFFEF9C"/>
      </colorScale>
    </cfRule>
  </conditionalFormatting>
  <conditionalFormatting sqref="C38:E38">
    <cfRule type="colorScale" priority="7">
      <colorScale>
        <cfvo type="num" val="&quot;&lt;0&quot;"/>
        <cfvo type="max"/>
        <color rgb="FFFF7128"/>
        <color rgb="FFFFEF9C"/>
      </colorScale>
    </cfRule>
  </conditionalFormatting>
  <conditionalFormatting sqref="C39:E39">
    <cfRule type="colorScale" priority="6">
      <colorScale>
        <cfvo type="num" val="&quot;&lt;0&quot;"/>
        <cfvo type="max"/>
        <color rgb="FFFF7128"/>
        <color rgb="FFFFEF9C"/>
      </colorScale>
    </cfRule>
  </conditionalFormatting>
  <conditionalFormatting sqref="P37">
    <cfRule type="colorScale" priority="3">
      <colorScale>
        <cfvo type="num" val="&quot;&lt;0&quot;"/>
        <cfvo type="max"/>
        <color rgb="FFFF7128"/>
        <color rgb="FFFFEF9C"/>
      </colorScale>
    </cfRule>
  </conditionalFormatting>
  <conditionalFormatting sqref="P38">
    <cfRule type="colorScale" priority="2">
      <colorScale>
        <cfvo type="num" val="&quot;&lt;0&quot;"/>
        <cfvo type="max"/>
        <color rgb="FFFF7128"/>
        <color rgb="FFFFEF9C"/>
      </colorScale>
    </cfRule>
  </conditionalFormatting>
  <conditionalFormatting sqref="P39">
    <cfRule type="colorScale" priority="1">
      <colorScale>
        <cfvo type="num" val="&quot;&lt;0&quot;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明瀚 江</cp:lastModifiedBy>
  <dcterms:created xsi:type="dcterms:W3CDTF">2023-05-12T11:15:00Z</dcterms:created>
  <dcterms:modified xsi:type="dcterms:W3CDTF">2026-01-09T03:03:29Z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6DC8A4FF3325401CB1BF50B0BB80837D_12</vt:lpwstr>
  </property>
</Properties>
</file>